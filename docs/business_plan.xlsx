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riane/Downloads/"/>
    </mc:Choice>
  </mc:AlternateContent>
  <xr:revisionPtr revIDLastSave="0" documentId="8_{A51A8708-572B-2C48-B1D9-11102F11558E}" xr6:coauthVersionLast="47" xr6:coauthVersionMax="47" xr10:uidLastSave="{00000000-0000-0000-0000-000000000000}"/>
  <bookViews>
    <workbookView xWindow="0" yWindow="500" windowWidth="38400" windowHeight="19420" xr2:uid="{00000000-000D-0000-FFFF-FFFF00000000}"/>
  </bookViews>
  <sheets>
    <sheet name="Business Plan 3 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D18" i="1"/>
  <c r="C18" i="1"/>
  <c r="B18" i="1"/>
  <c r="B15" i="1"/>
  <c r="B16" i="1" s="1"/>
  <c r="B19" i="1" s="1"/>
  <c r="B14" i="1"/>
  <c r="C14" i="1" s="1"/>
  <c r="D14" i="1" l="1"/>
  <c r="D15" i="1" s="1"/>
  <c r="D16" i="1" s="1"/>
  <c r="D19" i="1" s="1"/>
  <c r="C15" i="1"/>
  <c r="C16" i="1" s="1"/>
  <c r="C19" i="1" s="1"/>
  <c r="E19" i="1" s="1"/>
  <c r="B20" i="1"/>
  <c r="B21" i="1" l="1"/>
  <c r="C20" i="1"/>
  <c r="E20" i="1" s="1"/>
  <c r="C21" i="1"/>
  <c r="D20" i="1"/>
  <c r="D21" i="1"/>
  <c r="E21" i="1" l="1"/>
</calcChain>
</file>

<file path=xl/sharedStrings.xml><?xml version="1.0" encoding="utf-8"?>
<sst xmlns="http://schemas.openxmlformats.org/spreadsheetml/2006/main" count="42" uniqueCount="42">
  <si>
    <t>HYPOTHÈSES GÉNÉRALES (Issues du Dashboard v1.0)</t>
  </si>
  <si>
    <t>Variable (Source: KPI Dashboard)</t>
  </si>
  <si>
    <t>Valeur Initiale</t>
  </si>
  <si>
    <t>Commentaire / Stratégie</t>
  </si>
  <si>
    <t>Total Leads Qualifiés / Mois</t>
  </si>
  <si>
    <t>Volume actuel affiché (ScoreCard 1)</t>
  </si>
  <si>
    <t>Taux de Conversion Actuel</t>
  </si>
  <si>
    <t>Conversion observée 12.4% (ScoreCard 2)</t>
  </si>
  <si>
    <t>Indice de Confiance Modèle</t>
  </si>
  <si>
    <t>Précision de 88% affichée (ScoreCard 3)</t>
  </si>
  <si>
    <t>Croissance Mensuelle du Trafic</t>
  </si>
  <si>
    <t>Hypothèse conservatrice</t>
  </si>
  <si>
    <t>Prix moyen par Lead Vendu (CPL)</t>
  </si>
  <si>
    <t>Tarif marché (Grade A/B)</t>
  </si>
  <si>
    <t>Licence SaaS Baromètre / Mois</t>
  </si>
  <si>
    <t>Abonnement par école / région</t>
  </si>
  <si>
    <t>Taux de rétention SaaS annuel</t>
  </si>
  <si>
    <t>Hypothèse de Churn de 15%</t>
  </si>
  <si>
    <t>PROJECTIONS FINANCIÈRES - HORIZON 3 ANS</t>
  </si>
  <si>
    <t>Indicateur</t>
  </si>
  <si>
    <t>Année 1</t>
  </si>
  <si>
    <t>Année 2</t>
  </si>
  <si>
    <t>Année 3</t>
  </si>
  <si>
    <t>Total Cumulé</t>
  </si>
  <si>
    <t>Volume Leads Annuels</t>
  </si>
  <si>
    <t>Leads Vendables (Confiance 88%)</t>
  </si>
  <si>
    <t>REVENU : Produit Leads Data (€)</t>
  </si>
  <si>
    <t>Nb Clients SaaS Baromètre</t>
  </si>
  <si>
    <t>REVENU : Produit SaaS Baromètre (€)</t>
  </si>
  <si>
    <t>CHIFFRE D'AFFAIRES TOTAL</t>
  </si>
  <si>
    <t>Coûts Tech &amp; Pipeline Data (20%)</t>
  </si>
  <si>
    <t>MARGE BRUTE EST. (EBITDA)</t>
  </si>
  <si>
    <t>ANALYSE DE SENSIBILITÉ : Impact du Taux de Conversion</t>
  </si>
  <si>
    <t>Si le Taux de Conversion évolue</t>
  </si>
  <si>
    <t>Nouvel Objectif Leads Voulus</t>
  </si>
  <si>
    <t>Impact</t>
  </si>
  <si>
    <t>Scénario Pessimiste : 8.0%</t>
  </si>
  <si>
    <t>Attention, volume massif requis</t>
  </si>
  <si>
    <t>Scénario Actuel Dashboard : 12.4%</t>
  </si>
  <si>
    <t>Base Line</t>
  </si>
  <si>
    <t>Scénario Optimiste : 15.0%</t>
  </si>
  <si>
    <t>Effort marketing réduit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</si>
</sst>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0" fontId="2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45" customWidth="1"/>
    <col min="2" max="5" width="18" customWidth="1"/>
  </cols>
  <sheetData>
    <row r="1" spans="1:5" x14ac:dyDescent="0.2">
      <c r="A1" s="10" t="s">
        <v>0</v>
      </c>
      <c r="B1" s="10"/>
      <c r="C1" s="10"/>
    </row>
    <row r="2" spans="1:5" x14ac:dyDescent="0.2">
      <c r="A2" s="2" t="s">
        <v>1</v>
      </c>
      <c r="B2" s="2" t="s">
        <v>2</v>
      </c>
      <c r="C2" s="2" t="s">
        <v>3</v>
      </c>
    </row>
    <row r="3" spans="1:5" x14ac:dyDescent="0.2">
      <c r="A3" s="2" t="s">
        <v>4</v>
      </c>
      <c r="B3" s="3">
        <v>1248</v>
      </c>
      <c r="C3" s="2" t="s">
        <v>5</v>
      </c>
    </row>
    <row r="4" spans="1:5" x14ac:dyDescent="0.2">
      <c r="A4" s="2" t="s">
        <v>6</v>
      </c>
      <c r="B4" s="4">
        <v>0.124</v>
      </c>
      <c r="C4" s="2" t="s">
        <v>7</v>
      </c>
    </row>
    <row r="5" spans="1:5" x14ac:dyDescent="0.2">
      <c r="A5" s="2" t="s">
        <v>8</v>
      </c>
      <c r="B5" s="5">
        <v>0.88</v>
      </c>
      <c r="C5" s="2" t="s">
        <v>9</v>
      </c>
    </row>
    <row r="6" spans="1:5" x14ac:dyDescent="0.2">
      <c r="A6" s="2" t="s">
        <v>10</v>
      </c>
      <c r="B6" s="5">
        <v>0.05</v>
      </c>
      <c r="C6" s="2" t="s">
        <v>11</v>
      </c>
    </row>
    <row r="7" spans="1:5" x14ac:dyDescent="0.2">
      <c r="A7" s="2" t="s">
        <v>12</v>
      </c>
      <c r="B7" s="6">
        <v>25</v>
      </c>
      <c r="C7" s="2" t="s">
        <v>13</v>
      </c>
    </row>
    <row r="8" spans="1:5" x14ac:dyDescent="0.2">
      <c r="A8" s="2" t="s">
        <v>14</v>
      </c>
      <c r="B8" s="6">
        <v>850</v>
      </c>
      <c r="C8" s="2" t="s">
        <v>15</v>
      </c>
    </row>
    <row r="9" spans="1:5" x14ac:dyDescent="0.2">
      <c r="A9" s="2" t="s">
        <v>16</v>
      </c>
      <c r="B9" s="5">
        <v>0.85</v>
      </c>
      <c r="C9" s="2" t="s">
        <v>17</v>
      </c>
    </row>
    <row r="12" spans="1:5" x14ac:dyDescent="0.2">
      <c r="A12" s="10" t="s">
        <v>18</v>
      </c>
      <c r="B12" s="10"/>
      <c r="C12" s="10"/>
      <c r="D12" s="10"/>
      <c r="E12" s="10"/>
    </row>
    <row r="13" spans="1:5" x14ac:dyDescent="0.2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</row>
    <row r="14" spans="1:5" x14ac:dyDescent="0.2">
      <c r="A14" s="7" t="s">
        <v>24</v>
      </c>
      <c r="B14" s="3">
        <f>$B$3*12</f>
        <v>14976</v>
      </c>
      <c r="C14" s="3">
        <f>B14*(1+$B$6)</f>
        <v>15724.800000000001</v>
      </c>
      <c r="D14" s="3">
        <f>C14*(1+$B$6)</f>
        <v>16511.04</v>
      </c>
      <c r="E14" s="2"/>
    </row>
    <row r="15" spans="1:5" x14ac:dyDescent="0.2">
      <c r="A15" s="7" t="s">
        <v>25</v>
      </c>
      <c r="B15" s="3">
        <f>B14*$B$5</f>
        <v>13178.88</v>
      </c>
      <c r="C15" s="3">
        <f>C14*$B$5</f>
        <v>13837.824000000001</v>
      </c>
      <c r="D15" s="3">
        <f>D14*$B$5</f>
        <v>14529.715200000001</v>
      </c>
      <c r="E15" s="2"/>
    </row>
    <row r="16" spans="1:5" x14ac:dyDescent="0.2">
      <c r="A16" s="8" t="s">
        <v>26</v>
      </c>
      <c r="B16" s="6">
        <f>B15*$B$7</f>
        <v>329472</v>
      </c>
      <c r="C16" s="6">
        <f>C15*$B$7</f>
        <v>345945.60000000003</v>
      </c>
      <c r="D16" s="6">
        <f>D15*$B$7</f>
        <v>363242.88</v>
      </c>
      <c r="E16" s="2"/>
    </row>
    <row r="17" spans="1:5" x14ac:dyDescent="0.2">
      <c r="A17" s="7" t="s">
        <v>27</v>
      </c>
      <c r="B17" s="3">
        <v>15</v>
      </c>
      <c r="C17" s="3">
        <v>35</v>
      </c>
      <c r="D17" s="3">
        <v>65</v>
      </c>
      <c r="E17" s="2"/>
    </row>
    <row r="18" spans="1:5" x14ac:dyDescent="0.2">
      <c r="A18" s="8" t="s">
        <v>28</v>
      </c>
      <c r="B18" s="6">
        <f>B17*$B$8*12</f>
        <v>153000</v>
      </c>
      <c r="C18" s="6">
        <f>C17*$B$8*12</f>
        <v>357000</v>
      </c>
      <c r="D18" s="6">
        <f>D17*$B$8*12</f>
        <v>663000</v>
      </c>
      <c r="E18" s="2"/>
    </row>
    <row r="19" spans="1:5" x14ac:dyDescent="0.2">
      <c r="A19" s="8" t="s">
        <v>29</v>
      </c>
      <c r="B19" s="9">
        <f>B16+B18</f>
        <v>482472</v>
      </c>
      <c r="C19" s="9">
        <f>C16+C18</f>
        <v>702945.60000000009</v>
      </c>
      <c r="D19" s="9">
        <f>D16+D18</f>
        <v>1026242.88</v>
      </c>
      <c r="E19" s="9">
        <f>SUM(B19:D19)</f>
        <v>2211660.48</v>
      </c>
    </row>
    <row r="20" spans="1:5" x14ac:dyDescent="0.2">
      <c r="A20" s="7" t="s">
        <v>30</v>
      </c>
      <c r="B20" s="6">
        <f>-B19*0.2</f>
        <v>-96494.400000000009</v>
      </c>
      <c r="C20" s="6">
        <f>-C19*0.2</f>
        <v>-140589.12000000002</v>
      </c>
      <c r="D20" s="6">
        <f>-D19*0.2</f>
        <v>-205248.576</v>
      </c>
      <c r="E20" s="6">
        <f>SUM(B20:D20)</f>
        <v>-442332.09600000002</v>
      </c>
    </row>
    <row r="21" spans="1:5" x14ac:dyDescent="0.2">
      <c r="A21" s="8" t="s">
        <v>31</v>
      </c>
      <c r="B21" s="9">
        <f>B19+B20</f>
        <v>385977.59999999998</v>
      </c>
      <c r="C21" s="9">
        <f>C19+C20</f>
        <v>562356.4800000001</v>
      </c>
      <c r="D21" s="9">
        <f>D19+D20</f>
        <v>820994.304</v>
      </c>
      <c r="E21" s="9">
        <f>SUM(B21:D21)</f>
        <v>1769328.3840000001</v>
      </c>
    </row>
    <row r="24" spans="1:5" x14ac:dyDescent="0.2">
      <c r="A24" s="10" t="s">
        <v>32</v>
      </c>
      <c r="B24" s="10"/>
      <c r="C24" s="10"/>
      <c r="D24" s="1"/>
      <c r="E24" s="1"/>
    </row>
    <row r="25" spans="1:5" x14ac:dyDescent="0.2">
      <c r="A25" s="2" t="s">
        <v>33</v>
      </c>
      <c r="B25" s="2" t="s">
        <v>34</v>
      </c>
      <c r="C25" s="2" t="s">
        <v>35</v>
      </c>
      <c r="D25" s="2"/>
      <c r="E25" s="2"/>
    </row>
    <row r="26" spans="1:5" x14ac:dyDescent="0.2">
      <c r="A26" s="2" t="s">
        <v>36</v>
      </c>
      <c r="B26" s="2">
        <f>15000/(0.08)</f>
        <v>187500</v>
      </c>
      <c r="C26" s="2" t="s">
        <v>37</v>
      </c>
      <c r="D26" s="2"/>
      <c r="E26" s="2"/>
    </row>
    <row r="27" spans="1:5" x14ac:dyDescent="0.2">
      <c r="A27" s="2" t="s">
        <v>38</v>
      </c>
      <c r="B27" s="2">
        <f>$B$3*12</f>
        <v>14976</v>
      </c>
      <c r="C27" s="2" t="s">
        <v>39</v>
      </c>
      <c r="D27" s="2"/>
      <c r="E27" s="2"/>
    </row>
    <row r="28" spans="1:5" x14ac:dyDescent="0.2">
      <c r="A28" s="2" t="s">
        <v>40</v>
      </c>
      <c r="B28" s="2">
        <f>15000/(0.15)</f>
        <v>100000</v>
      </c>
      <c r="C28" s="2" t="s">
        <v>41</v>
      </c>
      <c r="D28" s="2"/>
      <c r="E28" s="2"/>
    </row>
  </sheetData>
  <mergeCells count="3">
    <mergeCell ref="A1:C1"/>
    <mergeCell ref="A12:E12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Plan 3 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Ariane BOULET</cp:lastModifiedBy>
  <dcterms:created xsi:type="dcterms:W3CDTF">2026-04-29T17:52:00Z</dcterms:created>
  <dcterms:modified xsi:type="dcterms:W3CDTF">2026-04-29T17:57:41Z</dcterms:modified>
</cp:coreProperties>
</file>